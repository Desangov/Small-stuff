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esan\Documents\Code\own projects to git\"/>
    </mc:Choice>
  </mc:AlternateContent>
  <xr:revisionPtr revIDLastSave="0" documentId="8_{9369604F-B7F7-430D-AAB0-E8061B3C880A}" xr6:coauthVersionLast="47" xr6:coauthVersionMax="47" xr10:uidLastSave="{00000000-0000-0000-0000-000000000000}"/>
  <bookViews>
    <workbookView xWindow="-108" yWindow="-108" windowWidth="23256" windowHeight="13176" xr2:uid="{A2ED9E0A-997E-4291-A9D4-9182877A7929}"/>
  </bookViews>
  <sheets>
    <sheet name="Sheet1" sheetId="1" r:id="rId1"/>
    <sheet name="Sheet2" sheetId="2" r:id="rId2"/>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0" i="1" l="1" a="1"/>
  <c r="AJ20" i="1" s="1"/>
  <c r="AM25" i="1" s="1" a="1"/>
  <c r="AM25" i="1" s="1"/>
  <c r="AI20" i="1" a="1"/>
  <c r="AI20" i="1" s="1"/>
  <c r="AI24" i="1" a="1"/>
  <c r="AI24" i="1"/>
  <c r="AL10" i="1"/>
  <c r="Z29" i="1" a="1"/>
  <c r="Z29" i="1" s="1"/>
  <c r="Z28" i="1"/>
  <c r="AI25" i="1" a="1"/>
  <c r="AI25" i="1" s="1"/>
  <c r="AJ24" i="1" a="1"/>
  <c r="AJ24" i="1" s="1"/>
  <c r="AP13" i="1"/>
  <c r="AO13" i="1"/>
  <c r="AN13" i="1"/>
  <c r="AM13" i="1"/>
  <c r="AO10" i="1"/>
  <c r="AN10" i="1"/>
  <c r="AM10" i="1"/>
  <c r="AJ26" i="1" a="1"/>
  <c r="AJ26" i="1" s="1"/>
  <c r="AJ25" i="1" a="1"/>
  <c r="AJ25" i="1" s="1"/>
  <c r="AI26" i="1" a="1"/>
  <c r="AI26" i="1" s="1"/>
  <c r="AP16" i="1"/>
  <c r="AO16" i="1"/>
  <c r="AN16" i="1"/>
  <c r="AM16" i="1"/>
  <c r="Z36" i="1" l="1" a="1"/>
  <c r="Z36" i="1" s="1"/>
  <c r="AA29" i="1" a="1"/>
  <c r="AA29" i="1" s="1"/>
  <c r="AB36" i="1" s="1"/>
  <c r="AA36" i="1"/>
  <c r="Z35" i="1" a="1"/>
  <c r="Z35" i="1" s="1"/>
  <c r="AA35" i="1" s="1"/>
  <c r="AA30" i="1" a="1"/>
  <c r="AA30" i="1" s="1"/>
  <c r="AM24" i="1" a="1"/>
  <c r="AM24" i="1" s="1"/>
  <c r="AM26" i="1" a="1"/>
  <c r="AM26" i="1" s="1"/>
  <c r="AL25" i="1" a="1"/>
  <c r="AL25" i="1" s="1"/>
  <c r="AL24" i="1" a="1"/>
  <c r="AL24" i="1" s="1"/>
  <c r="AL26" i="1" a="1"/>
  <c r="AL26" i="1" s="1"/>
  <c r="Z37" i="1" l="1" a="1"/>
  <c r="Z37" i="1" s="1"/>
  <c r="AD33" i="1" a="1"/>
  <c r="AD33" i="1" s="1"/>
  <c r="AD36" i="1" s="1" a="1"/>
  <c r="AD36" i="1" s="1"/>
  <c r="AB37" i="1"/>
  <c r="AA37" i="1"/>
  <c r="AA38" i="1" s="1"/>
  <c r="AA28" i="1"/>
  <c r="AB35" i="1" l="1"/>
  <c r="AB38" i="1" s="1"/>
  <c r="AD28" i="1"/>
  <c r="AB28" i="1"/>
  <c r="AB29" i="1" l="1" a="1"/>
  <c r="AB29" i="1" s="1"/>
  <c r="AB30" i="1" a="1"/>
  <c r="AB3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<sst xmlns="http://schemas.openxmlformats.org/spreadsheetml/2006/main" count="59" uniqueCount="35">
  <si>
    <t>Ethene conversion %</t>
  </si>
  <si>
    <t>Feed of water(mol/min)</t>
  </si>
  <si>
    <t>Feed of ethene(mol/min)</t>
  </si>
  <si>
    <t>A</t>
  </si>
  <si>
    <t>B</t>
  </si>
  <si>
    <t>C</t>
  </si>
  <si>
    <t>D</t>
  </si>
  <si>
    <t>a</t>
  </si>
  <si>
    <t>b</t>
  </si>
  <si>
    <t>c</t>
  </si>
  <si>
    <t>d</t>
  </si>
  <si>
    <t>HEAT OF REACTION (kJ/mol)</t>
  </si>
  <si>
    <t>T2</t>
  </si>
  <si>
    <t>T1</t>
  </si>
  <si>
    <t>Compound</t>
  </si>
  <si>
    <t>Stoichiometric coefficient</t>
  </si>
  <si>
    <t>T2(K)</t>
  </si>
  <si>
    <t>T1(K)</t>
  </si>
  <si>
    <t>Water</t>
  </si>
  <si>
    <t>Ethene</t>
  </si>
  <si>
    <t>Ethanol</t>
  </si>
  <si>
    <t>T2^n</t>
  </si>
  <si>
    <t>T1^n</t>
  </si>
  <si>
    <t>T2(K)^n</t>
  </si>
  <si>
    <t>T1(K)^n</t>
  </si>
  <si>
    <t>Inlet(mol/min)</t>
  </si>
  <si>
    <t>Outlet(mol/min)</t>
  </si>
  <si>
    <t>Mole fraction</t>
  </si>
  <si>
    <t>Total Molar flow (mol/min)</t>
  </si>
  <si>
    <t>Enthalpy of Reaction (kJ/min)</t>
  </si>
  <si>
    <t>Specific Enthalpy (kJ/mol)</t>
  </si>
  <si>
    <t>Enthalpy in (kJ/min)</t>
  </si>
  <si>
    <t>Enthalpy out (kJ/min)</t>
  </si>
  <si>
    <t>Total Entalpy Change (kJ/min)</t>
  </si>
  <si>
    <t>22.00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</si>
</sst>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R&quot;* #,##0.00_-;\-&quot;R&quot;* #,##0.00_-;_-&quot;R&quot;*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rgb="FFFFC000"/>
        <bgColor indexed="64"/>
      </patternFill>
    </fill>
    <fill>
      <patternFill patternType="solid">
        <fgColor theme="5"/>
        <bgColor indexed="64"/>
      </patternFill>
    </fill>
    <fill>
      <patternFill patternType="solid">
        <fgColor theme="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1" applyNumberFormat="1" applyFont="1"/>
    <xf numFmtId="0" fontId="2" fillId="0" borderId="0" xfId="0" applyFont="1"/>
    <xf numFmtId="0" fontId="0" fillId="0" borderId="0" xfId="0" applyAlignment="1">
      <alignment horizontal="left" indent="3"/>
    </xf>
    <xf numFmtId="164" fontId="0" fillId="0" borderId="0" xfId="0" applyNumberFormat="1"/>
    <xf numFmtId="11" fontId="0" fillId="0" borderId="0" xfId="0" applyNumberFormat="1"/>
    <xf numFmtId="0" fontId="0" fillId="2" borderId="0" xfId="0" applyFill="1"/>
    <xf numFmtId="0" fontId="0" fillId="3" borderId="0" xfId="0" applyFill="1"/>
    <xf numFmtId="0" fontId="2" fillId="3" borderId="0" xfId="0" applyFont="1" applyFill="1"/>
    <xf numFmtId="0" fontId="0" fillId="4" borderId="0" xfId="0" applyFill="1"/>
  </cellXfs>
  <cellStyles count="2">
    <cellStyle name="Normal" xfId="0" builtinId="0"/>
    <cellStyle name="Per cent" xfId="1" builtinId="5"/>
  </cellStyles>
  <dxfs count="17">
    <dxf>
      <numFmt numFmtId="0" formatCode="General"/>
    </dxf>
    <dxf>
      <fill>
        <patternFill patternType="solid">
          <fgColor indexed="64"/>
          <bgColor rgb="FFFFC000"/>
        </patternFill>
      </fill>
    </dxf>
    <dxf>
      <fill>
        <patternFill patternType="solid">
          <fgColor indexed="64"/>
          <bgColor rgb="FFFFC000"/>
        </patternFill>
      </fill>
    </dxf>
    <dxf>
      <fill>
        <patternFill patternType="solid">
          <fgColor indexed="64"/>
          <bgColor theme="5"/>
        </patternFill>
      </fill>
    </dxf>
    <dxf>
      <numFmt numFmtId="0" formatCode="General"/>
    </dxf>
    <dxf>
      <numFmt numFmtId="0" formatCode="General"/>
    </dxf>
    <dxf>
      <fill>
        <patternFill patternType="solid">
          <fgColor indexed="64"/>
          <bgColor theme="5"/>
        </patternFill>
      </fill>
    </dxf>
    <dxf>
      <numFmt numFmtId="0" formatCode="General"/>
    </dxf>
    <dxf>
      <numFmt numFmtId="0" formatCode="General"/>
    </dxf>
    <dxf>
      <fill>
        <patternFill patternType="solid">
          <fgColor indexed="64"/>
          <bgColor rgb="FFFFC000"/>
        </patternFill>
      </fill>
    </dxf>
    <dxf>
      <fill>
        <patternFill patternType="solid">
          <fgColor indexed="64"/>
          <bgColor rgb="FFFFC000"/>
        </patternFill>
      </fill>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indexed="64"/>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11</xdr:col>
      <xdr:colOff>300039</xdr:colOff>
      <xdr:row>1</xdr:row>
      <xdr:rowOff>79199</xdr:rowOff>
    </xdr:from>
    <xdr:to>
      <xdr:col>18</xdr:col>
      <xdr:colOff>277142</xdr:colOff>
      <xdr:row>7</xdr:row>
      <xdr:rowOff>95251</xdr:rowOff>
    </xdr:to>
    <xdr:sp macro="" textlink="">
      <xdr:nvSpPr>
        <xdr:cNvPr id="23" name="TextBox 3">
          <a:extLst>
            <a:ext uri="{FF2B5EF4-FFF2-40B4-BE49-F238E27FC236}">
              <a16:creationId xmlns:a16="http://schemas.microsoft.com/office/drawing/2014/main" id="{4F6AE34A-8ED3-DEF8-8B2B-AAE139A6A34C}"/>
            </a:ext>
          </a:extLst>
        </xdr:cNvPr>
        <xdr:cNvSpPr txBox="1"/>
      </xdr:nvSpPr>
      <xdr:spPr>
        <a:xfrm>
          <a:off x="7005639" y="260174"/>
          <a:ext cx="4368128" cy="1101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Good</a:t>
          </a:r>
          <a:r>
            <a:rPr lang="en-ZA" sz="1100" baseline="0"/>
            <a:t> Day to user, please follow the steps beside each section of the calculator in-order to have a successful experience in calculating your molar flow for Ethanol, kindly take note of points that have been made in order for this calculator to be more ergonomic. Please take note of </a:t>
          </a:r>
          <a:r>
            <a:rPr lang="en-US" sz="1100" baseline="0"/>
            <a:t>the following assumptions made: 1) water must enter the feed in excess.</a:t>
          </a:r>
          <a:endParaRPr lang="en-ZA" sz="1100" baseline="0"/>
        </a:p>
      </xdr:txBody>
    </xdr:sp>
    <xdr:clientData/>
  </xdr:twoCellAnchor>
  <xdr:oneCellAnchor>
    <xdr:from>
      <xdr:col>26</xdr:col>
      <xdr:colOff>437573</xdr:colOff>
      <xdr:row>26</xdr:row>
      <xdr:rowOff>57534</xdr:rowOff>
    </xdr:from>
    <xdr:ext cx="65" cy="172227"/>
    <xdr:sp macro="" textlink="">
      <xdr:nvSpPr>
        <xdr:cNvPr id="6" name="TextBox 5">
          <a:extLst>
            <a:ext uri="{FF2B5EF4-FFF2-40B4-BE49-F238E27FC236}">
              <a16:creationId xmlns:a16="http://schemas.microsoft.com/office/drawing/2014/main" id="{8666EB4A-1AB5-4AE0-9715-B72F95127342}"/>
            </a:ext>
          </a:extLst>
        </xdr:cNvPr>
        <xdr:cNvSpPr txBox="1"/>
      </xdr:nvSpPr>
      <xdr:spPr>
        <a:xfrm>
          <a:off x="6594533" y="128435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twoCellAnchor>
    <xdr:from>
      <xdr:col>36</xdr:col>
      <xdr:colOff>180229</xdr:colOff>
      <xdr:row>17</xdr:row>
      <xdr:rowOff>156073</xdr:rowOff>
    </xdr:from>
    <xdr:to>
      <xdr:col>38</xdr:col>
      <xdr:colOff>605928</xdr:colOff>
      <xdr:row>21</xdr:row>
      <xdr:rowOff>27542</xdr:rowOff>
    </xdr:to>
    <xdr:sp macro="" textlink="">
      <xdr:nvSpPr>
        <xdr:cNvPr id="8" name="TextBox 7">
          <a:extLst>
            <a:ext uri="{FF2B5EF4-FFF2-40B4-BE49-F238E27FC236}">
              <a16:creationId xmlns:a16="http://schemas.microsoft.com/office/drawing/2014/main" id="{80F49717-E6B6-2408-BFAD-CDB533A05452}"/>
            </a:ext>
          </a:extLst>
        </xdr:cNvPr>
        <xdr:cNvSpPr txBox="1"/>
      </xdr:nvSpPr>
      <xdr:spPr>
        <a:xfrm>
          <a:off x="26051506" y="3277519"/>
          <a:ext cx="1940518" cy="6059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temperatures</a:t>
          </a:r>
          <a:r>
            <a:rPr lang="en-ZA" sz="1100" baseline="0"/>
            <a:t> varied for simplification of calculations </a:t>
          </a:r>
          <a:br>
            <a:rPr lang="en-ZA" sz="1100" baseline="0"/>
          </a:br>
          <a:endParaRPr lang="en-ZA" sz="1100"/>
        </a:p>
      </xdr:txBody>
    </xdr:sp>
    <xdr:clientData/>
  </xdr:twoCellAnchor>
  <xdr:twoCellAnchor>
    <xdr:from>
      <xdr:col>33</xdr:col>
      <xdr:colOff>38476</xdr:colOff>
      <xdr:row>3</xdr:row>
      <xdr:rowOff>41554</xdr:rowOff>
    </xdr:from>
    <xdr:to>
      <xdr:col>39</xdr:col>
      <xdr:colOff>627701</xdr:colOff>
      <xdr:row>6</xdr:row>
      <xdr:rowOff>108136</xdr:rowOff>
    </xdr:to>
    <xdr:sp macro="" textlink="">
      <xdr:nvSpPr>
        <xdr:cNvPr id="9" name="TextBox 8">
          <a:extLst>
            <a:ext uri="{FF2B5EF4-FFF2-40B4-BE49-F238E27FC236}">
              <a16:creationId xmlns:a16="http://schemas.microsoft.com/office/drawing/2014/main" id="{08443C1A-7720-6857-CE9F-C31770266900}"/>
            </a:ext>
          </a:extLst>
        </xdr:cNvPr>
        <xdr:cNvSpPr txBox="1"/>
      </xdr:nvSpPr>
      <xdr:spPr>
        <a:xfrm>
          <a:off x="23887455" y="576575"/>
          <a:ext cx="4593778" cy="6016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These are the general Cp values</a:t>
          </a:r>
          <a:r>
            <a:rPr lang="en-ZA" sz="1100" baseline="0"/>
            <a:t> from the table of constant pressures and converted for convenience of calculations</a:t>
          </a:r>
          <a:endParaRPr lang="en-ZA" sz="1100"/>
        </a:p>
      </xdr:txBody>
    </xdr:sp>
    <xdr:clientData/>
  </xdr:twoCellAnchor>
  <xdr:twoCellAnchor>
    <xdr:from>
      <xdr:col>20</xdr:col>
      <xdr:colOff>271518</xdr:colOff>
      <xdr:row>5</xdr:row>
      <xdr:rowOff>43792</xdr:rowOff>
    </xdr:from>
    <xdr:to>
      <xdr:col>22</xdr:col>
      <xdr:colOff>656897</xdr:colOff>
      <xdr:row>12</xdr:row>
      <xdr:rowOff>90534</xdr:rowOff>
    </xdr:to>
    <xdr:sp macro="" textlink="">
      <xdr:nvSpPr>
        <xdr:cNvPr id="33" name="TextBox 32">
          <a:extLst>
            <a:ext uri="{FF2B5EF4-FFF2-40B4-BE49-F238E27FC236}">
              <a16:creationId xmlns:a16="http://schemas.microsoft.com/office/drawing/2014/main" id="{A9B84FAD-863E-02E6-144A-91A96FADC898}"/>
            </a:ext>
          </a:extLst>
        </xdr:cNvPr>
        <xdr:cNvSpPr txBox="1"/>
      </xdr:nvSpPr>
      <xdr:spPr>
        <a:xfrm>
          <a:off x="13768726" y="949139"/>
          <a:ext cx="2294151" cy="1314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Kindly enter a</a:t>
          </a:r>
          <a:r>
            <a:rPr lang="en-ZA" sz="1100" baseline="0"/>
            <a:t> conversion% of ethene, additionally enter a feed of water and ethene, a heat of reaction and an inlet and outlet temperature in Degrees celcius.</a:t>
          </a:r>
          <a:endParaRPr lang="en-ZA" sz="1100"/>
        </a:p>
      </xdr:txBody>
    </xdr:sp>
    <xdr:clientData/>
  </xdr:twoCellAnchor>
  <xdr:twoCellAnchor>
    <xdr:from>
      <xdr:col>41</xdr:col>
      <xdr:colOff>302847</xdr:colOff>
      <xdr:row>8</xdr:row>
      <xdr:rowOff>29308</xdr:rowOff>
    </xdr:from>
    <xdr:to>
      <xdr:col>44</xdr:col>
      <xdr:colOff>586154</xdr:colOff>
      <xdr:row>9</xdr:row>
      <xdr:rowOff>107462</xdr:rowOff>
    </xdr:to>
    <xdr:sp macro="" textlink="">
      <xdr:nvSpPr>
        <xdr:cNvPr id="24" name="TextBox 23">
          <a:extLst>
            <a:ext uri="{FF2B5EF4-FFF2-40B4-BE49-F238E27FC236}">
              <a16:creationId xmlns:a16="http://schemas.microsoft.com/office/drawing/2014/main" id="{AEBCC6BC-F74B-1FF9-BA85-35B54D77DAD4}"/>
            </a:ext>
          </a:extLst>
        </xdr:cNvPr>
        <xdr:cNvSpPr txBox="1"/>
      </xdr:nvSpPr>
      <xdr:spPr>
        <a:xfrm>
          <a:off x="28135385" y="1514231"/>
          <a:ext cx="2100384" cy="2637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WATER</a:t>
          </a:r>
        </a:p>
      </xdr:txBody>
    </xdr:sp>
    <xdr:clientData/>
  </xdr:twoCellAnchor>
  <xdr:twoCellAnchor>
    <xdr:from>
      <xdr:col>42</xdr:col>
      <xdr:colOff>127000</xdr:colOff>
      <xdr:row>11</xdr:row>
      <xdr:rowOff>127000</xdr:rowOff>
    </xdr:from>
    <xdr:to>
      <xdr:col>45</xdr:col>
      <xdr:colOff>488461</xdr:colOff>
      <xdr:row>12</xdr:row>
      <xdr:rowOff>166077</xdr:rowOff>
    </xdr:to>
    <xdr:sp macro="" textlink="">
      <xdr:nvSpPr>
        <xdr:cNvPr id="19" name="TextBox 24">
          <a:extLst>
            <a:ext uri="{FF2B5EF4-FFF2-40B4-BE49-F238E27FC236}">
              <a16:creationId xmlns:a16="http://schemas.microsoft.com/office/drawing/2014/main" id="{E1B5A6F9-7E1F-9692-DF89-3FB91577D41D}"/>
            </a:ext>
          </a:extLst>
        </xdr:cNvPr>
        <xdr:cNvSpPr txBox="1"/>
      </xdr:nvSpPr>
      <xdr:spPr>
        <a:xfrm>
          <a:off x="28565231" y="2168769"/>
          <a:ext cx="2178538" cy="2246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ETHENE </a:t>
          </a:r>
        </a:p>
      </xdr:txBody>
    </xdr:sp>
    <xdr:clientData/>
  </xdr:twoCellAnchor>
  <xdr:twoCellAnchor>
    <xdr:from>
      <xdr:col>42</xdr:col>
      <xdr:colOff>214923</xdr:colOff>
      <xdr:row>14</xdr:row>
      <xdr:rowOff>107462</xdr:rowOff>
    </xdr:from>
    <xdr:to>
      <xdr:col>45</xdr:col>
      <xdr:colOff>547077</xdr:colOff>
      <xdr:row>15</xdr:row>
      <xdr:rowOff>146538</xdr:rowOff>
    </xdr:to>
    <xdr:sp macro="" textlink="">
      <xdr:nvSpPr>
        <xdr:cNvPr id="26" name="TextBox 25">
          <a:extLst>
            <a:ext uri="{FF2B5EF4-FFF2-40B4-BE49-F238E27FC236}">
              <a16:creationId xmlns:a16="http://schemas.microsoft.com/office/drawing/2014/main" id="{A084396C-5957-7D1C-5003-AAF39F30FB8E}"/>
            </a:ext>
          </a:extLst>
        </xdr:cNvPr>
        <xdr:cNvSpPr txBox="1"/>
      </xdr:nvSpPr>
      <xdr:spPr>
        <a:xfrm>
          <a:off x="28653154" y="2706077"/>
          <a:ext cx="2149231" cy="2246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ETHANOL</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D668FD-E8DF-4A6D-BD7F-39F9D11788C5}" name="Table4" displayName="Table4" ref="T16:U17" totalsRowShown="0">
  <tableColumns count="2">
    <tableColumn id="1" xr3:uid="{A50A58F6-09AD-4E09-9877-055A97BAD97B}" name="T2"/>
    <tableColumn id="2" xr3:uid="{11BFEA7B-8A2C-4A8A-888B-9DDF92DD98E9}" name="T1"/>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1B17B0-C760-45CB-991A-496E3DCA1FF8}" name="Table8" displayName="Table8" ref="T9:T10" totalsRowShown="0" headerRowDxfId="16">
  <autoFilter ref="T9:T10" xr:uid="{E21B17B0-C760-45CB-991A-496E3DCA1FF8}"/>
  <tableColumns count="1">
    <tableColumn id="1" xr3:uid="{B766CCD6-5F81-445F-8225-03D5989CCC9B}" name="Feed of ethene(mol/mi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FB13A12-2F4F-4248-B0E2-82B3778DC655}" name="Table6" displayName="Table6" ref="AH15:AK16" totalsRowShown="0">
  <autoFilter ref="AH15:AK16" xr:uid="{4FB13A12-2F4F-4248-B0E2-82B3778DC655}"/>
  <tableColumns count="4">
    <tableColumn id="1" xr3:uid="{F36DE045-69BB-46E6-A276-ED3C7C8EB6DB}" name="A"/>
    <tableColumn id="2" xr3:uid="{09B4FA91-AAC8-495F-B1FE-9E70A4DC6D9C}" name="B"/>
    <tableColumn id="3" xr3:uid="{58CA1215-D490-4AF3-9677-98124CC8B49D}" name="C"/>
    <tableColumn id="4" xr3:uid="{39CED975-27BC-439D-88CC-4A0EE074A4E2}" name="D"/>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B7E83E3-FEA8-4D50-8660-828B38D6AA23}" name="Table2" displayName="Table2" ref="AI23:AJ26" totalsRowShown="0">
  <autoFilter ref="AI23:AJ26" xr:uid="{2B7E83E3-FEA8-4D50-8660-828B38D6AA23}"/>
  <tableColumns count="2">
    <tableColumn id="1" xr3:uid="{E2A26F5D-5841-4205-A543-1F43F60D1B5B}" name="T2^n" dataDxfId="15"/>
    <tableColumn id="2" xr3:uid="{5BF6FA65-B43E-4E91-9A8F-85B0D4D762E0}" name="T1^n" dataDxfId="14"/>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6821210-0C4C-4496-908C-4D0715028A02}" name="Table5" displayName="Table5" ref="AD35:AD36" totalsRowShown="0">
  <autoFilter ref="AD35:AD36" xr:uid="{46821210-0C4C-4496-908C-4D0715028A02}"/>
  <tableColumns count="1">
    <tableColumn id="1" xr3:uid="{4E31859E-0825-400B-8BC1-3A595ECE82AC}" name="Total Entalpy Change (kJ/min)">
      <calculatedColumnFormula array="1" xml:space="preserve"> AB38 -AA38 + Table1[Enthalpy of Reaction (kJ/min)]</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AD030C1-D7D2-44F1-9F47-6123FA08F39F}" name="Table3" displayName="Table3" ref="AM15:AP16" totalsRowShown="0">
  <autoFilter ref="AM15:AP16" xr:uid="{AAD030C1-D7D2-44F1-9F47-6123FA08F39F}"/>
  <tableColumns count="4">
    <tableColumn id="1" xr3:uid="{636D1DB8-E63E-49B6-96E9-8CF08F9E73C4}" name="a" dataDxfId="13">
      <calculatedColumnFormula>Table6[[#This Row],[A]]*(10)^-3</calculatedColumnFormula>
    </tableColumn>
    <tableColumn id="2" xr3:uid="{A8665E2A-5866-4D0C-9A77-117FBD20FDC6}" name="b">
      <calculatedColumnFormula>Table6[[#This Row],[B]]*(10)^-5</calculatedColumnFormula>
    </tableColumn>
    <tableColumn id="3" xr3:uid="{A30EB073-3910-4AFE-95AB-0B40B9032A53}" name="c">
      <calculatedColumnFormula>SUM(Table6[[#This Row],[C]]*(10)^-8)</calculatedColumnFormula>
    </tableColumn>
    <tableColumn id="4" xr3:uid="{53112774-E467-4AFA-8441-ECA4EDCBCDB3}" name="d">
      <calculatedColumnFormula>SUM(Table6[[#This Row],[D]]*(10)^-12)</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19B76A-5641-4B2F-A595-FC70CD36500F}" name="Table41" displayName="Table41" ref="Y27:AB31" totalsRowShown="0">
  <autoFilter ref="Y27:AB31" xr:uid="{1419B76A-5641-4B2F-A595-FC70CD36500F}"/>
  <tableColumns count="4">
    <tableColumn id="1" xr3:uid="{04CB19D6-0945-4DA0-AE42-5382318A5A29}" name="Compound"/>
    <tableColumn id="2" xr3:uid="{0AD14F6D-C831-4377-9CC1-FE9970A9BE7A}" name="Inlet(mol/min)" dataDxfId="12"/>
    <tableColumn id="3" xr3:uid="{3B9FEDEA-C952-43D5-825C-44F1EDB37066}" name="Outlet(mol/min)" dataDxfId="11">
      <calculatedColumnFormula array="1">#REF!</calculatedColumnFormula>
    </tableColumn>
    <tableColumn id="4" xr3:uid="{1DC81990-098B-4E25-BB86-607FE13DC302}" name="Mole fract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91066D1-F4D5-491B-8C50-916C91B61B95}" name="Table42" displayName="Table42" ref="T6:T8" totalsRowShown="0" headerRowDxfId="10">
  <autoFilter ref="T6:T8" xr:uid="{091066D1-F4D5-491B-8C50-916C91B61B95}"/>
  <tableColumns count="1">
    <tableColumn id="1" xr3:uid="{0D3A037B-D3BC-47B9-9E71-A67C2B397C02}" name="Feed of water(mol/mi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C0148D-3EC7-4AF8-A83D-F752FBB5217C}" name="Table9" displayName="Table9" ref="T3:T4" totalsRowShown="0" headerRowDxfId="9">
  <autoFilter ref="T3:T4" xr:uid="{19C0148D-3EC7-4AF8-A83D-F752FBB5217C}"/>
  <tableColumns count="1">
    <tableColumn id="1" xr3:uid="{BAADB1D2-78C6-40AE-861A-74A4F9F12335}" name="Ethene conversion %"/>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58ADDEC-A9D9-42CF-AD4B-A36159BD09F6}" name="Table615" displayName="Table615" ref="AG9:AJ10" totalsRowShown="0">
  <autoFilter ref="AG9:AJ10" xr:uid="{858ADDEC-A9D9-42CF-AD4B-A36159BD09F6}"/>
  <tableColumns count="4">
    <tableColumn id="1" xr3:uid="{6C9CAC21-3228-4BDC-9958-4D576233C82C}" name="A"/>
    <tableColumn id="2" xr3:uid="{879AE5D8-F6D1-41D7-8C26-5027A37ABA45}" name="B"/>
    <tableColumn id="3" xr3:uid="{F513D4D7-3D7E-495B-B76A-9907E96F83F3}" name="C"/>
    <tableColumn id="4" xr3:uid="{F005404A-89E3-481C-B877-91D5E4896DFF}" name="D"/>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B4AB3CF-DE9C-46AF-B0CA-C904B31D89A0}" name="Table316" displayName="Table316" ref="AL9:AO10" totalsRowShown="0">
  <autoFilter ref="AL9:AO10" xr:uid="{9B4AB3CF-DE9C-46AF-B0CA-C904B31D89A0}"/>
  <tableColumns count="4">
    <tableColumn id="1" xr3:uid="{A2FA24F9-9086-4232-8045-661A4BD757D1}" name="a" dataDxfId="8">
      <calculatedColumnFormula>Table615[[#This Row],[A]]*(10)^-3</calculatedColumnFormula>
    </tableColumn>
    <tableColumn id="2" xr3:uid="{1136DE57-0DCF-4D13-9FBD-8D90F44523CB}" name="b">
      <calculatedColumnFormula>Table615[[#This Row],[B]]*(10)^-5</calculatedColumnFormula>
    </tableColumn>
    <tableColumn id="3" xr3:uid="{1A106DC2-2BCE-4FD7-AD24-483AFE9F6930}" name="c">
      <calculatedColumnFormula>SUM(Table615[[#This Row],[C]]*(10)^-8)</calculatedColumnFormula>
    </tableColumn>
    <tableColumn id="4" xr3:uid="{0792EE18-49C7-42E3-A0C3-EA09C70416E9}" name="d">
      <calculatedColumnFormula>SUM(Table615[[#This Row],[D]]*(10)^-12)</calculatedColumnFormula>
    </tableColumn>
  </tableColumns>
  <tableStyleInfo name="TableStyleLight1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1B65FCB-5B46-4CCA-ACB2-73F014D954C9}" name="Table619" displayName="Table619" ref="AH12:AK13" totalsRowShown="0">
  <autoFilter ref="AH12:AK13" xr:uid="{71B65FCB-5B46-4CCA-ACB2-73F014D954C9}"/>
  <tableColumns count="4">
    <tableColumn id="1" xr3:uid="{4BE2B88C-CBE4-438A-BF17-ECB4FA12064D}" name="A"/>
    <tableColumn id="2" xr3:uid="{7813DFD6-2C0C-433A-990A-307BA069F9A5}" name="B"/>
    <tableColumn id="3" xr3:uid="{16520BEF-2556-4278-9BAB-C61E6F28D8F3}" name="C"/>
    <tableColumn id="4" xr3:uid="{85A0BF18-A7C6-451F-B3DA-0E3A94B39751}" name="D"/>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49AAD7-6BD9-44CE-A205-4F7320578210}" name="Table320" displayName="Table320" ref="AM12:AP13" totalsRowShown="0">
  <autoFilter ref="AM12:AP13" xr:uid="{C249AAD7-6BD9-44CE-A205-4F7320578210}"/>
  <tableColumns count="4">
    <tableColumn id="1" xr3:uid="{052750BD-70B7-4B00-AAA4-6FC3F6BF1872}" name="a" dataDxfId="7">
      <calculatedColumnFormula>Table619[[#This Row],[A]]*(10)^-3</calculatedColumnFormula>
    </tableColumn>
    <tableColumn id="2" xr3:uid="{D7834A88-D5EC-4268-A088-BC16B0F9BA8F}" name="b">
      <calculatedColumnFormula>Table619[[#This Row],[B]]*(10)^-5</calculatedColumnFormula>
    </tableColumn>
    <tableColumn id="3" xr3:uid="{26AA6CF1-9B75-4EA0-BC1B-1D7A201F5440}" name="c">
      <calculatedColumnFormula>SUM(Table619[[#This Row],[C]]*(10)^-8)</calculatedColumnFormula>
    </tableColumn>
    <tableColumn id="4" xr3:uid="{8041E99C-E24A-48FA-83E3-81097CE51C8D}" name="d">
      <calculatedColumnFormula>SUM(Table619[[#This Row],[D]]*(10)^-12)</calculatedColumnFormula>
    </tableColumn>
  </tableColumns>
  <tableStyleInfo name="TableStyleLight10"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F64BBE7-BFCD-4D44-817D-19873194946A}" name="Table20" displayName="Table20" ref="AL23:AM26" totalsRowShown="0" headerRowDxfId="6">
  <autoFilter ref="AL23:AM26" xr:uid="{0F64BBE7-BFCD-4D44-817D-19873194946A}"/>
  <tableColumns count="2">
    <tableColumn id="1" xr3:uid="{CA191F98-4E2E-4A2F-883D-0BD956B6387C}" name="T2(K)^n" dataDxfId="5">
      <calculatedColumnFormula>_xleta.SUM</calculatedColumnFormula>
    </tableColumn>
    <tableColumn id="2" xr3:uid="{51B70972-EEF6-43C0-B200-1F485C4B07DE}" name="T1(K)^n" dataDxfId="4">
      <calculatedColumnFormula array="1">SUM(Table4[T1]^2)</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11D1B3B-DD16-46EA-861A-CCC56F602AEC}" name="Table21" displayName="Table21" ref="AI19:AJ20" totalsRowShown="0" headerRowDxfId="3">
  <autoFilter ref="AI19:AJ20" xr:uid="{B11D1B3B-DD16-46EA-861A-CCC56F602AEC}"/>
  <tableColumns count="2">
    <tableColumn id="1" xr3:uid="{BD1DF03D-D2F4-4DD1-BB47-7A7BE27CC42F}" name="T2(K)">
      <calculatedColumnFormula array="1">(Table4[T2]+273.15)</calculatedColumnFormula>
    </tableColumn>
    <tableColumn id="2" xr3:uid="{97597403-9619-44DE-843D-E68C5555E67C}" name="T1(K)">
      <calculatedColumnFormula array="1">Table4[T1]+273.15</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F6FEE79-6695-445C-986C-89382B12F668}" name="Table7" displayName="Table7" ref="T12:T13" totalsRowShown="0" headerRowDxfId="2">
  <autoFilter ref="T12:T13" xr:uid="{FF6FEE79-6695-445C-986C-89382B12F668}"/>
  <tableColumns count="1">
    <tableColumn id="1" xr3:uid="{E325C2C4-1504-4E51-88CC-F438FEDB2810}" name="HEAT OF REACTION (kJ/mol)"/>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D099DDA-8095-47E6-B304-FA112518C890}" name="Table12" displayName="Table12" ref="AD27:AD28" totalsRowShown="0">
  <autoFilter ref="AD27:AD28" xr:uid="{2D099DDA-8095-47E6-B304-FA112518C890}"/>
  <tableColumns count="1">
    <tableColumn id="1" xr3:uid="{2E5FD8C0-89FA-4496-9BB6-3172BA938FF6}" name="Total Molar flow (mol/min)">
      <calculatedColumnFormula>SUM(Table41[[#This Row],[Outlet(mol/min)]]+AA29+AA30)</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6E4FBC5-0061-4B41-9E69-6CEE068E65A0}" name="Table13" displayName="Table13" ref="T19:U22" totalsRowShown="0" headerRowDxfId="1">
  <autoFilter ref="T19:U22" xr:uid="{96E4FBC5-0061-4B41-9E69-6CEE068E65A0}"/>
  <tableColumns count="2">
    <tableColumn id="1" xr3:uid="{683B1E3E-251D-4F28-A808-946B7DC12537}" name="Compound"/>
    <tableColumn id="2" xr3:uid="{9351C93E-9803-4DCD-82CD-08060AA9B88B}" name="Stoichiometric coefficient"/>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D628C64-0E4C-49E4-A7E3-88364DBB441D}" name="Table16" displayName="Table16" ref="Y34:AB38" totalsRowShown="0">
  <autoFilter ref="Y34:AB38" xr:uid="{DD628C64-0E4C-49E4-A7E3-88364DBB441D}"/>
  <tableColumns count="4">
    <tableColumn id="1" xr3:uid="{D0CFDB49-DE7E-43F7-AF16-034B550FE832}" name="Compound"/>
    <tableColumn id="2" xr3:uid="{3123307E-21E2-4586-A8BE-0032ED1E66F1}" name="Specific Enthalpy (kJ/mol)" dataDxfId="0">
      <calculatedColumnFormula array="1">Table</calculatedColumnFormula>
    </tableColumn>
    <tableColumn id="3" xr3:uid="{5182F432-768A-4BF5-B2B4-0C16978C0AEC}" name="Enthalpy in (kJ/min)">
      <calculatedColumnFormula>Z28*Table16[[#This Row],[Specific Enthalpy (kJ/mol)]]</calculatedColumnFormula>
    </tableColumn>
    <tableColumn id="4" xr3:uid="{4E833EF9-E029-4418-8CF7-F1F1E002E243}" name="Enthalpy out (kJ/min)">
      <calculatedColumnFormula>AA28*Table16[[#This Row],[Specific Enthalpy (kJ/mol)]]</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E0817C-E355-417B-B1F3-FB8442C1983B}" name="Table1" displayName="Table1" ref="AD32:AD33" totalsRowShown="0">
  <autoFilter ref="AD32:AD33" xr:uid="{78E0817C-E355-417B-B1F3-FB8442C1983B}"/>
  <tableColumns count="1">
    <tableColumn id="1" xr3:uid="{6D1E6187-FE6E-458E-B8FF-1AF6EA8A7DDE}" name="Enthalpy of Reaction (kJ/min)">
      <calculatedColumnFormula array="1">AA30*Table7[HEAT OF REACTION (kJ/mol)]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drawing" Target="../drawings/drawing1.x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0893-B3A2-41DB-817F-6F67D7BEB371}">
  <dimension ref="Q3:AP38"/>
  <sheetViews>
    <sheetView tabSelected="1" topLeftCell="AC1" zoomScale="70" zoomScaleNormal="70" workbookViewId="0">
      <selection activeCell="AD33" sqref="AD33"/>
    </sheetView>
  </sheetViews>
  <sheetFormatPr defaultRowHeight="14.4" x14ac:dyDescent="0.3"/>
  <cols>
    <col min="15" max="15" width="9" bestFit="1" customWidth="1"/>
    <col min="16" max="16" width="10.33203125" customWidth="1"/>
    <col min="17" max="18" width="9" bestFit="1" customWidth="1"/>
    <col min="20" max="20" width="25.88671875" bestFit="1" customWidth="1"/>
    <col min="21" max="21" width="16.109375" bestFit="1" customWidth="1"/>
    <col min="22" max="22" width="12" bestFit="1" customWidth="1"/>
    <col min="23" max="25" width="10.6640625" customWidth="1"/>
    <col min="27" max="29" width="10.44140625" customWidth="1"/>
    <col min="30" max="30" width="11.44140625" customWidth="1"/>
    <col min="33" max="34" width="9.33203125" bestFit="1" customWidth="1"/>
    <col min="35" max="35" width="11.6640625" bestFit="1" customWidth="1"/>
    <col min="36" max="36" width="9.6640625" bestFit="1" customWidth="1"/>
    <col min="37" max="37" width="9.33203125" bestFit="1" customWidth="1"/>
    <col min="38" max="38" width="12.88671875" bestFit="1" customWidth="1"/>
    <col min="39" max="39" width="12.33203125" bestFit="1" customWidth="1"/>
    <col min="40" max="40" width="10.88671875" bestFit="1" customWidth="1"/>
    <col min="41" max="41" width="12.44140625" bestFit="1" customWidth="1"/>
    <col min="42" max="42" width="11.88671875" bestFit="1" customWidth="1"/>
  </cols>
  <sheetData>
    <row r="3" spans="20:42" x14ac:dyDescent="0.3">
      <c r="T3" s="6" t="s">
        <v>0</v>
      </c>
    </row>
    <row r="4" spans="20:42" x14ac:dyDescent="0.3">
      <c r="T4">
        <v>90</v>
      </c>
    </row>
    <row r="6" spans="20:42" x14ac:dyDescent="0.3">
      <c r="T6" s="6" t="s">
        <v>1</v>
      </c>
    </row>
    <row r="7" spans="20:42" x14ac:dyDescent="0.3">
      <c r="T7">
        <v>467.51</v>
      </c>
    </row>
    <row r="9" spans="20:42" x14ac:dyDescent="0.3">
      <c r="T9" s="6" t="s">
        <v>2</v>
      </c>
      <c r="AG9" t="s">
        <v>3</v>
      </c>
      <c r="AH9" t="s">
        <v>4</v>
      </c>
      <c r="AI9" t="s">
        <v>5</v>
      </c>
      <c r="AJ9" t="s">
        <v>6</v>
      </c>
      <c r="AL9" t="s">
        <v>7</v>
      </c>
      <c r="AM9" t="s">
        <v>8</v>
      </c>
      <c r="AN9" t="s">
        <v>9</v>
      </c>
      <c r="AO9" t="s">
        <v>10</v>
      </c>
    </row>
    <row r="10" spans="20:42" x14ac:dyDescent="0.3">
      <c r="T10">
        <v>234.45</v>
      </c>
      <c r="AG10">
        <v>33.46</v>
      </c>
      <c r="AH10">
        <v>0.68799999999999994</v>
      </c>
      <c r="AI10">
        <v>0.76039999999999996</v>
      </c>
      <c r="AJ10" s="5">
        <v>-3.593</v>
      </c>
      <c r="AL10" s="1">
        <f>Table615[[#This Row],[A]]*(10)^-3</f>
        <v>3.3460000000000004E-2</v>
      </c>
      <c r="AM10">
        <f>Table615[[#This Row],[B]]*(10)^-5</f>
        <v>6.8800000000000002E-6</v>
      </c>
      <c r="AN10">
        <f>SUM(Table615[[#This Row],[C]]*(10)^-8)</f>
        <v>7.6039999999999998E-9</v>
      </c>
      <c r="AO10">
        <f>SUM(Table615[[#This Row],[D]]*(10)^-12)</f>
        <v>-3.5929999999999997E-12</v>
      </c>
    </row>
    <row r="12" spans="20:42" x14ac:dyDescent="0.3">
      <c r="T12" s="6" t="s">
        <v>11</v>
      </c>
      <c r="AB12" s="4"/>
      <c r="AH12" t="s">
        <v>3</v>
      </c>
      <c r="AI12" t="s">
        <v>4</v>
      </c>
      <c r="AJ12" t="s">
        <v>5</v>
      </c>
      <c r="AK12" t="s">
        <v>6</v>
      </c>
      <c r="AM12" t="s">
        <v>7</v>
      </c>
      <c r="AN12" t="s">
        <v>8</v>
      </c>
      <c r="AO12" t="s">
        <v>9</v>
      </c>
      <c r="AP12" t="s">
        <v>10</v>
      </c>
    </row>
    <row r="13" spans="20:42" x14ac:dyDescent="0.3">
      <c r="T13">
        <v>-87.5</v>
      </c>
      <c r="AH13">
        <v>40.75</v>
      </c>
      <c r="AI13">
        <v>11.47</v>
      </c>
      <c r="AJ13">
        <v>-6.891</v>
      </c>
      <c r="AK13" s="5">
        <v>17.66</v>
      </c>
      <c r="AM13" s="1">
        <f>Table619[[#This Row],[A]]*(10)^-3</f>
        <v>4.0750000000000001E-2</v>
      </c>
      <c r="AN13">
        <f>Table619[[#This Row],[B]]*(10)^-5</f>
        <v>1.1470000000000001E-4</v>
      </c>
      <c r="AO13">
        <f>SUM(Table619[[#This Row],[C]]*(10)^-8)</f>
        <v>-6.891E-8</v>
      </c>
      <c r="AP13">
        <f>SUM(Table619[[#This Row],[D]]*(10)^-12)</f>
        <v>1.766E-11</v>
      </c>
    </row>
    <row r="15" spans="20:42" x14ac:dyDescent="0.3">
      <c r="AH15" t="s">
        <v>3</v>
      </c>
      <c r="AI15" t="s">
        <v>4</v>
      </c>
      <c r="AJ15" t="s">
        <v>5</v>
      </c>
      <c r="AK15" t="s">
        <v>6</v>
      </c>
      <c r="AM15" t="s">
        <v>7</v>
      </c>
      <c r="AN15" t="s">
        <v>8</v>
      </c>
      <c r="AO15" t="s">
        <v>9</v>
      </c>
      <c r="AP15" t="s">
        <v>10</v>
      </c>
    </row>
    <row r="16" spans="20:42" x14ac:dyDescent="0.3">
      <c r="T16" t="s">
        <v>12</v>
      </c>
      <c r="U16" t="s">
        <v>13</v>
      </c>
      <c r="AH16">
        <v>73.304000000000002</v>
      </c>
      <c r="AI16">
        <v>-7122.3</v>
      </c>
      <c r="AJ16">
        <v>-7.1424000000000003</v>
      </c>
      <c r="AK16" s="5">
        <v>7.8853000000000005E-6</v>
      </c>
      <c r="AM16" s="1">
        <f>Table6[[#This Row],[A]]*(10)^-3</f>
        <v>7.3304000000000008E-2</v>
      </c>
      <c r="AN16">
        <f>Table6[[#This Row],[B]]*(10)^-5</f>
        <v>-7.1223000000000009E-2</v>
      </c>
      <c r="AO16">
        <f>SUM(Table6[[#This Row],[C]]*(10)^-8)</f>
        <v>-7.1424000000000005E-8</v>
      </c>
      <c r="AP16">
        <f>SUM(Table6[[#This Row],[D]]*(10)^-12)</f>
        <v>7.8853000000000007E-18</v>
      </c>
    </row>
    <row r="17" spans="17:39" x14ac:dyDescent="0.3">
      <c r="T17">
        <v>283</v>
      </c>
      <c r="U17">
        <v>25</v>
      </c>
    </row>
    <row r="19" spans="17:39" x14ac:dyDescent="0.3">
      <c r="T19" s="9" t="s">
        <v>14</v>
      </c>
      <c r="U19" s="9" t="s">
        <v>15</v>
      </c>
      <c r="AI19" s="7" t="s">
        <v>16</v>
      </c>
      <c r="AJ19" s="7" t="s">
        <v>17</v>
      </c>
    </row>
    <row r="20" spans="17:39" x14ac:dyDescent="0.3">
      <c r="T20" t="s">
        <v>18</v>
      </c>
      <c r="U20">
        <v>1</v>
      </c>
      <c r="AI20" cm="1">
        <f t="array" ref="AI20">(Table4[T2]+273.15)</f>
        <v>556.15</v>
      </c>
      <c r="AJ20" cm="1">
        <f t="array" ref="AJ20">Table4[T1]+273.15</f>
        <v>298.14999999999998</v>
      </c>
    </row>
    <row r="21" spans="17:39" x14ac:dyDescent="0.3">
      <c r="T21" t="s">
        <v>19</v>
      </c>
      <c r="U21">
        <v>1</v>
      </c>
    </row>
    <row r="22" spans="17:39" x14ac:dyDescent="0.3">
      <c r="T22" t="s">
        <v>20</v>
      </c>
      <c r="U22">
        <v>1</v>
      </c>
    </row>
    <row r="23" spans="17:39" x14ac:dyDescent="0.3">
      <c r="AI23" s="8" t="s">
        <v>21</v>
      </c>
      <c r="AJ23" s="8" t="s">
        <v>22</v>
      </c>
      <c r="AL23" s="7" t="s">
        <v>23</v>
      </c>
      <c r="AM23" s="7" t="s">
        <v>24</v>
      </c>
    </row>
    <row r="24" spans="17:39" x14ac:dyDescent="0.3">
      <c r="AI24" s="2" cm="1">
        <f t="array" ref="AI24">SUM(Table4[T2]^2)</f>
        <v>80089</v>
      </c>
      <c r="AJ24" s="2" cm="1">
        <f t="array" ref="AJ24">SUM(Table4[T1]^2)</f>
        <v>625</v>
      </c>
      <c r="AL24" cm="1">
        <f t="array" ref="AL24">SUM(Table21[T2(K)]^2)</f>
        <v>309302.82249999995</v>
      </c>
      <c r="AM24" cm="1">
        <f t="array" ref="AM24">SUM(Table21[T1(K)]^2)</f>
        <v>88893.422499999986</v>
      </c>
    </row>
    <row r="25" spans="17:39" x14ac:dyDescent="0.3">
      <c r="Y25" s="5"/>
      <c r="AI25" s="2" cm="1">
        <f t="array" ref="AI25">SUM(Table4[T2]^3)</f>
        <v>22665187</v>
      </c>
      <c r="AJ25" s="2" cm="1">
        <f t="array" ref="AJ25">SUM(Table4[T1]^3)</f>
        <v>15625</v>
      </c>
      <c r="AL25" cm="1">
        <f t="array" ref="AL25">SUM(Table21[T2(K)]^3)</f>
        <v>172018764.73337495</v>
      </c>
      <c r="AM25" cm="1">
        <f t="array" ref="AM25">SUM(Table21[T1(K)]^3)</f>
        <v>26503573.918374993</v>
      </c>
    </row>
    <row r="26" spans="17:39" x14ac:dyDescent="0.3">
      <c r="AI26" s="2" cm="1">
        <f t="array" ref="AI26">SUM(Table4[T2]^4)</f>
        <v>6414247921</v>
      </c>
      <c r="AJ26" s="2" cm="1">
        <f t="array" ref="AJ26">SUM(Table4[T1]^4)</f>
        <v>390625</v>
      </c>
      <c r="AL26" cm="1">
        <f t="array" ref="AL26">SUM(Table21[T2(K)]^4)</f>
        <v>95668236006.466476</v>
      </c>
      <c r="AM26" cm="1">
        <f t="array" ref="AM26">SUM(Table21[T1(K)]^4)</f>
        <v>7902040563.763504</v>
      </c>
    </row>
    <row r="27" spans="17:39" x14ac:dyDescent="0.3">
      <c r="Q27" s="3"/>
      <c r="Y27" t="s">
        <v>14</v>
      </c>
      <c r="Z27" t="s">
        <v>25</v>
      </c>
      <c r="AA27" t="s">
        <v>26</v>
      </c>
      <c r="AB27" t="s">
        <v>27</v>
      </c>
      <c r="AD27" t="s">
        <v>28</v>
      </c>
    </row>
    <row r="28" spans="17:39" x14ac:dyDescent="0.3">
      <c r="Q28" s="3"/>
      <c r="Y28" t="s">
        <v>18</v>
      </c>
      <c r="Z28">
        <f>T7</f>
        <v>467.51</v>
      </c>
      <c r="AA28">
        <f>Table41[[#This Row],[Inlet(mol/min)]]-(AA30)</f>
        <v>256.505</v>
      </c>
      <c r="AB28">
        <f>Table41[[#This Row],[Outlet(mol/min)]]/Table12[[#This Row],[Total Molar flow (mol/min)]]</f>
        <v>0.52246132537605283</v>
      </c>
      <c r="AD28">
        <f>SUM(Table41[[#This Row],[Outlet(mol/min)]]+AA29+AA30)</f>
        <v>490.95499999999998</v>
      </c>
    </row>
    <row r="29" spans="17:39" x14ac:dyDescent="0.3">
      <c r="Q29" s="3"/>
      <c r="Y29" t="s">
        <v>19</v>
      </c>
      <c r="Z29" cm="1">
        <f t="array" ref="Z29">Table8[Feed of ethene(mol/min)]</f>
        <v>234.45</v>
      </c>
      <c r="AA29" cm="1">
        <f t="array" ref="AA29">Table41[[#This Row],[Inlet(mol/min)]]-(Table41[[#This Row],[Inlet(mol/min)]]*((Table9[Ethene conversion %])/100))</f>
        <v>23.444999999999993</v>
      </c>
      <c r="AB29" cm="1">
        <f t="array" ref="AB29">Table41[[#This Row],[Outlet(mol/min)]]/Table12[Total Molar flow (mol/min)]</f>
        <v>4.7753867462394711E-2</v>
      </c>
    </row>
    <row r="30" spans="17:39" x14ac:dyDescent="0.3">
      <c r="Y30" t="s">
        <v>20</v>
      </c>
      <c r="Z30">
        <v>0</v>
      </c>
      <c r="AA30" cm="1">
        <f t="array" ref="AA30">IF(Z28&lt;Z29,Z28,Z29*((Table9[Ethene conversion %]/100)))</f>
        <v>211.005</v>
      </c>
      <c r="AB30" cm="1">
        <f t="array" ref="AB30">Table41[[#This Row],[Outlet(mol/min)]]/Table12[Total Molar flow (mol/min)]</f>
        <v>0.42978480716155248</v>
      </c>
    </row>
    <row r="32" spans="17:39" x14ac:dyDescent="0.3">
      <c r="AD32" t="s">
        <v>29</v>
      </c>
    </row>
    <row r="33" spans="25:30" x14ac:dyDescent="0.3">
      <c r="AD33" cm="1">
        <f t="array" ref="AD33">AA30*Table7[HEAT OF REACTION (kJ/mol)]</f>
        <v>-18462.9375</v>
      </c>
    </row>
    <row r="34" spans="25:30" x14ac:dyDescent="0.3">
      <c r="Y34" t="s">
        <v>14</v>
      </c>
      <c r="Z34" t="s">
        <v>30</v>
      </c>
      <c r="AA34" t="s">
        <v>31</v>
      </c>
      <c r="AB34" t="s">
        <v>32</v>
      </c>
    </row>
    <row r="35" spans="25:30" x14ac:dyDescent="0.3">
      <c r="Y35" t="s">
        <v>18</v>
      </c>
      <c r="Z35" cm="1">
        <f t="array" ref="Z35">SUM(((Table316[a]*(Table4[T2]-Table4[T1]))+((Table316[b]*(AI24-AJ24))/2)+((Table316[c]*(AI25-AJ25))/3)+((Table316[d]*(AI26-AJ26))/4)))</f>
        <v>8.9576840024998692</v>
      </c>
      <c r="AA35">
        <f>Z28*Table16[[#This Row],[Specific Enthalpy (kJ/mol)]]</f>
        <v>4187.806848008714</v>
      </c>
      <c r="AB35">
        <f>AA28*Table16[[#This Row],[Specific Enthalpy (kJ/mol)]]</f>
        <v>2297.6907350612287</v>
      </c>
      <c r="AD35" t="s">
        <v>33</v>
      </c>
    </row>
    <row r="36" spans="25:30" x14ac:dyDescent="0.3">
      <c r="Y36" t="s">
        <v>19</v>
      </c>
      <c r="Z36" cm="1">
        <f t="array" ref="Z36">SUM(((Table320[a]*(Table4[T2]-Table4[T1]))+((Table320[b]*(AI24-AJ24))/2)+((Table320[c]*(AI25-AJ25))/3)+((Table320[d]*(AI26-AJ26))/4)))</f>
        <v>14.578817140821842</v>
      </c>
      <c r="AA36">
        <f>Z29*Table16[[#This Row],[Specific Enthalpy (kJ/mol)]]</f>
        <v>3418.0036786656806</v>
      </c>
      <c r="AB36">
        <f>AA29*Table16[[#This Row],[Specific Enthalpy (kJ/mol)]]</f>
        <v>341.80036786656797</v>
      </c>
      <c r="AD36" s="5" cm="1">
        <f t="array" ref="AD36" xml:space="preserve"> AB38 -AA38 + Table1[Enthalpy of Reaction (kJ/min)]</f>
        <v>-1676370.9683059249</v>
      </c>
    </row>
    <row r="37" spans="25:30" x14ac:dyDescent="0.3">
      <c r="Y37" t="s">
        <v>20</v>
      </c>
      <c r="Z37" cm="1">
        <f t="array" ref="Z37">SUM(((Table3[a]*(Table21[T2(K)]-Table21[T1(K)]))+((Table3[b]*(AL24-AM24))/2)+((Table3[c]*(AL25-AM25))/3)+((Table3[d]*(AL26-AM26))/4)))</f>
        <v>-7833.6613415899074</v>
      </c>
      <c r="AA37">
        <f>Z30*Table16[[#This Row],[Specific Enthalpy (kJ/mol)]]</f>
        <v>0</v>
      </c>
      <c r="AB37">
        <f>AA30*Table16[[#This Row],[Specific Enthalpy (kJ/mol)]]</f>
        <v>-1652941.7113821784</v>
      </c>
    </row>
    <row r="38" spans="25:30" x14ac:dyDescent="0.3">
      <c r="AA38">
        <f>AA35+AA36+AA37</f>
        <v>7605.8105266743951</v>
      </c>
      <c r="AB38">
        <f>AB35+AB36+AB37</f>
        <v>-1650302.2202792505</v>
      </c>
    </row>
  </sheetData>
  <phoneticPr fontId="3" type="noConversion"/>
  <dataValidations count="4">
    <dataValidation allowBlank="1" showInputMessage="1" showErrorMessage="1" sqref="T17:U17" xr:uid="{401D608D-5E05-4643-96F1-E66A84880A9E}"/>
    <dataValidation type="decimal" allowBlank="1" showInputMessage="1" showErrorMessage="1" sqref="T10" xr:uid="{B8835DC9-B63B-44C4-9033-F4FC86C4B038}">
      <formula1>0</formula1>
      <formula2>T7</formula2>
    </dataValidation>
    <dataValidation type="decimal" operator="greaterThan" allowBlank="1" showInputMessage="1" showErrorMessage="1" sqref="T7" xr:uid="{E8F2ED04-8641-4F9F-AE1A-7BCBA8C5D86C}">
      <formula1>0</formula1>
    </dataValidation>
    <dataValidation type="decimal" operator="lessThan" allowBlank="1" showInputMessage="1" showErrorMessage="1" sqref="T13" xr:uid="{33E47C4B-D3D9-434C-8E0E-D089438EBB6B}">
      <formula1>0</formula1>
    </dataValidation>
  </dataValidations>
  <pageMargins left="0.7" right="0.7" top="0.75" bottom="0.75" header="0.3" footer="0.3"/>
  <drawing r:id="rId1"/>
  <tableParts count="20">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BEA9-2324-46C2-AF5E-DBE9F0F4DD88}">
  <dimension ref="G5:I5"/>
  <sheetViews>
    <sheetView workbookViewId="0">
      <selection activeCell="I5" sqref="I5"/>
    </sheetView>
  </sheetViews>
  <sheetFormatPr defaultRowHeight="14.4" x14ac:dyDescent="0.3"/>
  <sheetData>
    <row r="5" spans="7:9" x14ac:dyDescent="0.3">
      <c r="G5">
        <v>2424</v>
      </c>
      <c r="I5" t="s">
        <v>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1C5D120F28CF49BCE583DE4A34F870" ma:contentTypeVersion="9" ma:contentTypeDescription="Create a new document." ma:contentTypeScope="" ma:versionID="3ca3b409e3be68634093539102d4b465">
  <xsd:schema xmlns:xsd="http://www.w3.org/2001/XMLSchema" xmlns:xs="http://www.w3.org/2001/XMLSchema" xmlns:p="http://schemas.microsoft.com/office/2006/metadata/properties" xmlns:ns3="55763836-3280-4767-b9f7-ea88a369a122" xmlns:ns4="4f3f2c40-312c-43c2-8cab-4e644c5b75c5" targetNamespace="http://schemas.microsoft.com/office/2006/metadata/properties" ma:root="true" ma:fieldsID="b07cbba0ab9821b77b97830f8234c202" ns3:_="" ns4:_="">
    <xsd:import namespace="55763836-3280-4767-b9f7-ea88a369a122"/>
    <xsd:import namespace="4f3f2c40-312c-43c2-8cab-4e644c5b75c5"/>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763836-3280-4767-b9f7-ea88a369a122"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3f2c40-312c-43c2-8cab-4e644c5b75c5"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5763836-3280-4767-b9f7-ea88a369a122" xsi:nil="true"/>
  </documentManagement>
</p:properties>
</file>

<file path=customXml/itemProps1.xml><?xml version="1.0" encoding="utf-8"?>
<ds:datastoreItem xmlns:ds="http://schemas.openxmlformats.org/officeDocument/2006/customXml" ds:itemID="{E8075BFB-96CE-4F10-846A-AAB2992A8DEB}">
  <ds:schemaRefs>
    <ds:schemaRef ds:uri="http://schemas.microsoft.com/sharepoint/v3/contenttype/forms"/>
  </ds:schemaRefs>
</ds:datastoreItem>
</file>

<file path=customXml/itemProps2.xml><?xml version="1.0" encoding="utf-8"?>
<ds:datastoreItem xmlns:ds="http://schemas.openxmlformats.org/officeDocument/2006/customXml" ds:itemID="{5169CF23-D684-45DB-90BF-C7B689FE5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763836-3280-4767-b9f7-ea88a369a122"/>
    <ds:schemaRef ds:uri="4f3f2c40-312c-43c2-8cab-4e644c5b75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89924B3-3A14-4E82-90E1-3FCFB430AE38}">
  <ds:schemaRefs>
    <ds:schemaRef ds:uri="http://purl.org/dc/dcmitype/"/>
    <ds:schemaRef ds:uri="http://schemas.microsoft.com/office/2006/documentManagement/types"/>
    <ds:schemaRef ds:uri="http://purl.org/dc/elements/1.1/"/>
    <ds:schemaRef ds:uri="4f3f2c40-312c-43c2-8cab-4e644c5b75c5"/>
    <ds:schemaRef ds:uri="http://www.w3.org/XML/1998/namespace"/>
    <ds:schemaRef ds:uri="http://schemas.microsoft.com/office/infopath/2007/PartnerControls"/>
    <ds:schemaRef ds:uri="http://schemas.openxmlformats.org/package/2006/metadata/core-properties"/>
    <ds:schemaRef ds:uri="55763836-3280-4767-b9f7-ea88a369a122"/>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desan</dc:creator>
  <cp:keywords/>
  <dc:description/>
  <cp:lastModifiedBy>Desan Govender (224003958)</cp:lastModifiedBy>
  <cp:revision/>
  <dcterms:created xsi:type="dcterms:W3CDTF">2025-03-15T08:35:55Z</dcterms:created>
  <dcterms:modified xsi:type="dcterms:W3CDTF">2026-10-07T07:18:34Z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0x010100C01C5D120F28CF49BCE583DE4A34F870</vt:lpwstr>
  </property>
</Properties>
</file>